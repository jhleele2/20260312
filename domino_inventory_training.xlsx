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G:\내 드라이브\인섭 공유폴더\교육\강의자료\바이브코딩\실습\domino\"/>
    </mc:Choice>
  </mc:AlternateContent>
  <xr:revisionPtr revIDLastSave="0" documentId="13_ncr:1_{F1E4A32C-B563-4378-8C12-374871BF6F6E}" xr6:coauthVersionLast="47" xr6:coauthVersionMax="47" xr10:uidLastSave="{00000000-0000-0000-0000-000000000000}"/>
  <bookViews>
    <workbookView xWindow="6120" yWindow="2620" windowWidth="24120" windowHeight="12640" xr2:uid="{00000000-000D-0000-FFFF-FFFF00000000}"/>
  </bookViews>
  <sheets>
    <sheet name="Guide" sheetId="1" r:id="rId1"/>
    <sheet name="Suppliers" sheetId="2" r:id="rId2"/>
    <sheet name="Inventory" sheetId="3" r:id="rId3"/>
    <sheet name="OrderSummary" sheetId="4" r:id="rId4"/>
    <sheet name="EmailTemplate" sheetId="5" r:id="rId5"/>
  </sheets>
  <definedNames>
    <definedName name="_xlnm._FilterDatabase" localSheetId="2" hidden="1">Inventory!$A$1:$O$11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4" l="1"/>
  <c r="D14" i="4"/>
  <c r="E13" i="4"/>
  <c r="D13" i="4"/>
  <c r="E12" i="4"/>
  <c r="D12" i="4"/>
  <c r="E11" i="4"/>
  <c r="D11" i="4"/>
  <c r="B3" i="4"/>
  <c r="N11" i="3"/>
  <c r="L11" i="3"/>
  <c r="M11" i="3" s="1"/>
  <c r="O11" i="3" s="1"/>
  <c r="K11" i="3"/>
  <c r="J11" i="3"/>
  <c r="N10" i="3"/>
  <c r="C14" i="4" s="1"/>
  <c r="M10" i="3"/>
  <c r="L10" i="3"/>
  <c r="K10" i="3"/>
  <c r="J10" i="3"/>
  <c r="N9" i="3"/>
  <c r="O9" i="3" s="1"/>
  <c r="L9" i="3"/>
  <c r="M9" i="3" s="1"/>
  <c r="K9" i="3"/>
  <c r="J9" i="3"/>
  <c r="N8" i="3"/>
  <c r="C13" i="4" s="1"/>
  <c r="L8" i="3"/>
  <c r="M8" i="3" s="1"/>
  <c r="K8" i="3"/>
  <c r="J8" i="3"/>
  <c r="O7" i="3"/>
  <c r="N7" i="3"/>
  <c r="M7" i="3"/>
  <c r="L7" i="3"/>
  <c r="K7" i="3"/>
  <c r="J7" i="3"/>
  <c r="N6" i="3"/>
  <c r="O6" i="3" s="1"/>
  <c r="L6" i="3"/>
  <c r="M6" i="3" s="1"/>
  <c r="K6" i="3"/>
  <c r="J6" i="3"/>
  <c r="N5" i="3"/>
  <c r="C12" i="4" s="1"/>
  <c r="M5" i="3"/>
  <c r="L5" i="3"/>
  <c r="K5" i="3"/>
  <c r="J5" i="3"/>
  <c r="N4" i="3"/>
  <c r="O4" i="3" s="1"/>
  <c r="L4" i="3"/>
  <c r="M4" i="3" s="1"/>
  <c r="K4" i="3"/>
  <c r="J4" i="3"/>
  <c r="O3" i="3"/>
  <c r="N3" i="3"/>
  <c r="M3" i="3"/>
  <c r="L3" i="3"/>
  <c r="K3" i="3"/>
  <c r="J3" i="3"/>
  <c r="N2" i="3"/>
  <c r="L2" i="3"/>
  <c r="M2" i="3" s="1"/>
  <c r="K2" i="3"/>
  <c r="J2" i="3"/>
  <c r="B5" i="4" l="1"/>
  <c r="C11" i="4"/>
  <c r="O2" i="3"/>
  <c r="O10" i="3"/>
  <c r="B4" i="4"/>
  <c r="B6" i="4" s="1"/>
  <c r="O5" i="3"/>
  <c r="B11" i="4"/>
  <c r="O8" i="3"/>
  <c r="B12" i="4"/>
  <c r="B13" i="4"/>
  <c r="B1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M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발주권장수량 = 현재재고가 안전재고보다 적으면 MAX(MOQ, 부족수량)</t>
        </r>
      </text>
    </comment>
  </commentList>
</comments>
</file>

<file path=xl/sharedStrings.xml><?xml version="1.0" encoding="utf-8"?>
<sst xmlns="http://schemas.openxmlformats.org/spreadsheetml/2006/main" count="136" uniqueCount="86">
  <si>
    <t>패키지 사용 안내</t>
  </si>
  <si>
    <t>실습 목표</t>
  </si>
  <si>
    <t>재고 부족 기준</t>
  </si>
  <si>
    <t>현재재고 &lt; 안전재고</t>
  </si>
  <si>
    <t>발주 권장 수량</t>
  </si>
  <si>
    <t>현재재고가 안전재고보다 적으면 MAX(MOQ, 안전재고-현재재고)</t>
  </si>
  <si>
    <t>재료 10개</t>
  </si>
  <si>
    <t>도우볼</t>
  </si>
  <si>
    <t>주의</t>
  </si>
  <si>
    <t>토마토소스</t>
  </si>
  <si>
    <t>모짜렐라치즈</t>
  </si>
  <si>
    <t>페퍼로니</t>
  </si>
  <si>
    <t>베이컨</t>
  </si>
  <si>
    <t>양파</t>
  </si>
  <si>
    <t>피망</t>
  </si>
  <si>
    <t>양송이버섯</t>
  </si>
  <si>
    <t>블랙올리브</t>
  </si>
  <si>
    <t>스위트콘</t>
  </si>
  <si>
    <t>거래처명</t>
  </si>
  <si>
    <t>담당자</t>
  </si>
  <si>
    <t>이메일</t>
  </si>
  <si>
    <t>리드타임(일)</t>
  </si>
  <si>
    <t>품목군</t>
  </si>
  <si>
    <t>도미노푸드서플라이</t>
  </si>
  <si>
    <t>박지훈</t>
  </si>
  <si>
    <t>도우/소스/치즈</t>
  </si>
  <si>
    <t>프레시미트코리아</t>
  </si>
  <si>
    <t>김현우</t>
  </si>
  <si>
    <t>페퍼로니/베이컨</t>
  </si>
  <si>
    <t>그린베지유통</t>
  </si>
  <si>
    <t>이수진</t>
  </si>
  <si>
    <t>양파/피망/버섯</t>
  </si>
  <si>
    <t>토핑솔루션</t>
  </si>
  <si>
    <t>정민아</t>
  </si>
  <si>
    <t>올리브/콘</t>
  </si>
  <si>
    <t>품목코드</t>
  </si>
  <si>
    <t>재료명</t>
  </si>
  <si>
    <t>규격</t>
  </si>
  <si>
    <t>단위</t>
  </si>
  <si>
    <t>현재재고</t>
  </si>
  <si>
    <t>안전재고</t>
  </si>
  <si>
    <t>MOQ</t>
  </si>
  <si>
    <t>거래처</t>
  </si>
  <si>
    <t>알림담당자</t>
  </si>
  <si>
    <t>거래처이메일</t>
  </si>
  <si>
    <t>부족수량</t>
  </si>
  <si>
    <t>발주권장수량</t>
  </si>
  <si>
    <t>상태</t>
  </si>
  <si>
    <t>담당자알림메시지</t>
  </si>
  <si>
    <t>ING001</t>
  </si>
  <si>
    <t>220g</t>
  </si>
  <si>
    <t>개</t>
  </si>
  <si>
    <t>점포 운영매니저</t>
  </si>
  <si>
    <t>ING002</t>
  </si>
  <si>
    <t>3kg</t>
  </si>
  <si>
    <t>팩</t>
  </si>
  <si>
    <t>ING003</t>
  </si>
  <si>
    <t>2kg</t>
  </si>
  <si>
    <t>봉</t>
  </si>
  <si>
    <t>ING004</t>
  </si>
  <si>
    <t>1kg</t>
  </si>
  <si>
    <t>ING005</t>
  </si>
  <si>
    <t>ING006</t>
  </si>
  <si>
    <t>5kg</t>
  </si>
  <si>
    <t>ING007</t>
  </si>
  <si>
    <t>ING008</t>
  </si>
  <si>
    <t>2.5kg</t>
  </si>
  <si>
    <t>캔</t>
  </si>
  <si>
    <t>ING009</t>
  </si>
  <si>
    <t>ING010</t>
  </si>
  <si>
    <t>총 품목 수</t>
  </si>
  <si>
    <t>발주 필요 품목 수</t>
  </si>
  <si>
    <t>전체 권장 발주 수량</t>
  </si>
  <si>
    <t>오늘 상태</t>
  </si>
  <si>
    <t>거래처별 발주 필요 현황</t>
  </si>
  <si>
    <t>총 권장 발주 수량</t>
  </si>
  <si>
    <t>담당자 이메일</t>
  </si>
  <si>
    <t>발주 이메일 템플릿</t>
  </si>
  <si>
    <t>제목 템플릿</t>
  </si>
  <si>
    <t>[발주요청] {{STORE_NAME}} / {{SUPPLIER_NAME}} / {{ORDER_DATE}}</t>
  </si>
  <si>
    <t>본문 템플릿</t>
  </si>
  <si>
    <t>안녕하세요 {{SUPPLIER_NAME}} 담당자님.
도미노피자 {{STORE_NAME}}입니다.
아래 품목에 대해 발주 요청드립니다.
{{ITEM_LIST}}
첨부한 발주서 확인 부탁드립니다.
감사합니다.
{{INTERNAL_OWNER}}</t>
  </si>
  <si>
    <t>liszzm@naver.com</t>
    <phoneticPr fontId="6" type="noConversion"/>
  </si>
  <si>
    <r>
      <rPr>
        <b/>
        <sz val="14"/>
        <color rgb="FFFFFFFF"/>
        <rFont val="맑은 고딕"/>
        <family val="3"/>
        <charset val="129"/>
      </rPr>
      <t>도미노피자</t>
    </r>
    <r>
      <rPr>
        <b/>
        <sz val="14"/>
        <color rgb="FFFFFFFF"/>
        <rFont val="Calibri"/>
        <family val="2"/>
      </rPr>
      <t xml:space="preserve"> </t>
    </r>
    <r>
      <rPr>
        <b/>
        <sz val="14"/>
        <color rgb="FFFFFFFF"/>
        <rFont val="맑은 고딕"/>
        <family val="3"/>
        <charset val="129"/>
      </rPr>
      <t>재고</t>
    </r>
    <r>
      <rPr>
        <b/>
        <sz val="14"/>
        <color rgb="FFFFFFFF"/>
        <rFont val="Calibri"/>
        <family val="2"/>
      </rPr>
      <t>·</t>
    </r>
    <r>
      <rPr>
        <b/>
        <sz val="14"/>
        <color rgb="FFFFFFFF"/>
        <rFont val="맑은 고딕"/>
        <family val="3"/>
        <charset val="129"/>
      </rPr>
      <t>발주</t>
    </r>
    <r>
      <rPr>
        <b/>
        <sz val="14"/>
        <color rgb="FFFFFFFF"/>
        <rFont val="Calibri"/>
        <family val="2"/>
      </rPr>
      <t xml:space="preserve"> </t>
    </r>
    <r>
      <rPr>
        <b/>
        <sz val="14"/>
        <color rgb="FFFFFFFF"/>
        <rFont val="맑은 고딕"/>
        <family val="3"/>
        <charset val="129"/>
      </rPr>
      <t>자동화</t>
    </r>
    <r>
      <rPr>
        <b/>
        <sz val="14"/>
        <color rgb="FFFFFFFF"/>
        <rFont val="Calibri"/>
        <family val="2"/>
      </rPr>
      <t xml:space="preserve"> </t>
    </r>
    <r>
      <rPr>
        <b/>
        <sz val="14"/>
        <color rgb="FFFFFFFF"/>
        <rFont val="맑은 고딕"/>
        <family val="3"/>
        <charset val="129"/>
      </rPr>
      <t>패키지</t>
    </r>
    <phoneticPr fontId="6" type="noConversion"/>
  </si>
  <si>
    <r>
      <rPr>
        <b/>
        <sz val="14"/>
        <color rgb="FFFFFFFF"/>
        <rFont val="맑은 고딕"/>
        <family val="3"/>
        <charset val="129"/>
      </rPr>
      <t>도미노피자</t>
    </r>
    <r>
      <rPr>
        <b/>
        <sz val="14"/>
        <color rgb="FFFFFFFF"/>
        <rFont val="Calibri"/>
        <family val="2"/>
      </rPr>
      <t xml:space="preserve"> </t>
    </r>
    <r>
      <rPr>
        <b/>
        <sz val="14"/>
        <color rgb="FFFFFFFF"/>
        <rFont val="맑은 고딕"/>
        <family val="3"/>
        <charset val="129"/>
      </rPr>
      <t>발주</t>
    </r>
    <r>
      <rPr>
        <b/>
        <sz val="14"/>
        <color rgb="FFFFFFFF"/>
        <rFont val="Calibri"/>
        <family val="2"/>
      </rPr>
      <t xml:space="preserve"> </t>
    </r>
    <r>
      <rPr>
        <b/>
        <sz val="14"/>
        <color rgb="FFFFFFFF"/>
        <rFont val="맑은 고딕"/>
        <family val="3"/>
        <charset val="129"/>
      </rPr>
      <t>요약</t>
    </r>
    <phoneticPr fontId="6" type="noConversion"/>
  </si>
  <si>
    <r>
      <rPr>
        <sz val="11"/>
        <color theme="1"/>
        <rFont val="맑은 고딕"/>
        <family val="3"/>
        <charset val="129"/>
      </rPr>
      <t>재고를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확인하고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</rPr>
      <t>재고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부족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품목을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찾고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</rPr>
      <t>담당자에게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알림을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보여준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뒤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발주서와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이메일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초안을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만드는</t>
    </r>
    <r>
      <rPr>
        <sz val="11"/>
        <color theme="1"/>
        <rFont val="Calibri"/>
        <family val="2"/>
        <scheme val="minor"/>
      </rPr>
      <t xml:space="preserve"> MVP</t>
    </r>
    <r>
      <rPr>
        <sz val="11"/>
        <color theme="1"/>
        <rFont val="맑은 고딕"/>
        <family val="3"/>
        <charset val="129"/>
      </rPr>
      <t>를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구현합니다.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</si>
</sst>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1F1F1F"/>
      <name val="Calibri"/>
    </font>
    <font>
      <sz val="11"/>
      <color rgb="FF008000"/>
      <name val="Calibri"/>
    </font>
    <font>
      <b/>
      <sz val="11"/>
      <name val="Calibri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u/>
      <sz val="11"/>
      <color theme="10"/>
      <name val="Calibri"/>
      <family val="2"/>
      <scheme val="minor"/>
    </font>
    <font>
      <b/>
      <sz val="14"/>
      <color rgb="FFFFFFFF"/>
      <name val="맑은 고딕"/>
      <family val="3"/>
      <charset val="129"/>
    </font>
    <font>
      <b/>
      <sz val="14"/>
      <color rgb="FFFFFFFF"/>
      <name val="Calibri"/>
      <family val="2"/>
    </font>
    <font>
      <b/>
      <sz val="14"/>
      <color rgb="FFFFFFFF"/>
      <name val="Calibri"/>
      <family val="3"/>
      <charset val="129"/>
    </font>
    <font>
      <sz val="11"/>
      <color theme="1"/>
      <name val="Calibri"/>
      <family val="3"/>
      <charset val="129"/>
      <scheme val="minor"/>
    </font>
    <font>
      <sz val="11"/>
      <color theme="1"/>
      <name val="맑은 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DDEBF7"/>
      </patternFill>
    </fill>
    <fill>
      <patternFill patternType="solid">
        <fgColor rgb="FFFDE9D9"/>
      </patternFill>
    </fill>
    <fill>
      <patternFill patternType="solid">
        <fgColor rgb="FFEAF2FF"/>
      </patternFill>
    </fill>
    <fill>
      <patternFill patternType="solid">
        <fgColor rgb="FFFFFFFF"/>
      </patternFill>
    </fill>
    <fill>
      <patternFill patternType="solid">
        <fgColor rgb="FFD9E1F2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3">
    <xf numFmtId="0" fontId="0" fillId="0" borderId="0"/>
    <xf numFmtId="0" fontId="5" fillId="0" borderId="0"/>
    <xf numFmtId="0" fontId="7" fillId="0" borderId="0" applyNumberFormat="0" applyFill="0" applyBorder="0" applyAlignment="0" applyProtection="0"/>
  </cellStyleXfs>
  <cellXfs count="26">
    <xf numFmtId="0" fontId="0" fillId="0" borderId="0" xfId="0"/>
    <xf numFmtId="0" fontId="2" fillId="4" borderId="1" xfId="1" applyFont="1" applyFill="1" applyBorder="1"/>
    <xf numFmtId="0" fontId="0" fillId="0" borderId="1" xfId="1" applyFont="1" applyBorder="1"/>
    <xf numFmtId="0" fontId="2" fillId="5" borderId="1" xfId="1" applyFont="1" applyFill="1" applyBorder="1"/>
    <xf numFmtId="0" fontId="2" fillId="4" borderId="1" xfId="1" applyFont="1" applyFill="1" applyBorder="1" applyAlignment="1">
      <alignment horizontal="center"/>
    </xf>
    <xf numFmtId="0" fontId="2" fillId="4" borderId="1" xfId="1" applyFont="1" applyFill="1" applyBorder="1" applyAlignment="1">
      <alignment horizontal="center" vertical="center"/>
    </xf>
    <xf numFmtId="0" fontId="0" fillId="6" borderId="1" xfId="1" applyFont="1" applyFill="1" applyBorder="1"/>
    <xf numFmtId="1" fontId="0" fillId="6" borderId="1" xfId="1" applyNumberFormat="1" applyFont="1" applyFill="1" applyBorder="1"/>
    <xf numFmtId="0" fontId="3" fillId="7" borderId="1" xfId="1" applyFont="1" applyFill="1" applyBorder="1"/>
    <xf numFmtId="0" fontId="0" fillId="7" borderId="1" xfId="1" applyFont="1" applyFill="1" applyBorder="1"/>
    <xf numFmtId="1" fontId="0" fillId="7" borderId="1" xfId="1" applyNumberFormat="1" applyFont="1" applyFill="1" applyBorder="1"/>
    <xf numFmtId="0" fontId="4" fillId="8" borderId="1" xfId="1" applyFont="1" applyFill="1" applyBorder="1"/>
    <xf numFmtId="0" fontId="4" fillId="5" borderId="1" xfId="1" applyFont="1" applyFill="1" applyBorder="1"/>
    <xf numFmtId="0" fontId="2" fillId="4" borderId="0" xfId="1" applyFont="1" applyFill="1"/>
    <xf numFmtId="0" fontId="7" fillId="0" borderId="1" xfId="2" applyBorder="1"/>
    <xf numFmtId="0" fontId="0" fillId="0" borderId="0" xfId="0"/>
    <xf numFmtId="0" fontId="0" fillId="0" borderId="1" xfId="1" applyFont="1" applyBorder="1" applyAlignment="1">
      <alignment vertical="top" wrapText="1"/>
    </xf>
    <xf numFmtId="0" fontId="0" fillId="0" borderId="1" xfId="1" applyFont="1" applyBorder="1"/>
    <xf numFmtId="0" fontId="0" fillId="0" borderId="2" xfId="1" applyFont="1" applyBorder="1"/>
    <xf numFmtId="0" fontId="0" fillId="0" borderId="3" xfId="1" applyFont="1" applyBorder="1"/>
    <xf numFmtId="0" fontId="2" fillId="3" borderId="0" xfId="1" applyFont="1" applyFill="1"/>
    <xf numFmtId="0" fontId="1" fillId="2" borderId="0" xfId="1" applyFont="1" applyFill="1" applyAlignment="1">
      <alignment horizontal="center"/>
    </xf>
    <xf numFmtId="0" fontId="0" fillId="0" borderId="0" xfId="1" applyFont="1" applyAlignment="1">
      <alignment vertical="top" wrapText="1"/>
    </xf>
    <xf numFmtId="0" fontId="10" fillId="2" borderId="0" xfId="1" applyFont="1" applyFill="1" applyAlignment="1">
      <alignment horizontal="center" vertical="center"/>
    </xf>
    <xf numFmtId="0" fontId="10" fillId="2" borderId="0" xfId="1" applyFont="1" applyFill="1" applyAlignment="1">
      <alignment horizontal="center"/>
    </xf>
    <xf numFmtId="0" fontId="11" fillId="0" borderId="1" xfId="1" applyFont="1" applyBorder="1" applyAlignment="1">
      <alignment vertical="top" wrapText="1"/>
    </xf>
  </cellXfs>
  <cellStyles count="3">
    <cellStyle name="Normal" xfId="1" xr:uid="{00000000-0005-0000-0000-000000000000}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901700</xdr:colOff>
      <xdr:row>34</xdr:row>
      <xdr:rowOff>88900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B530F3E9-EDAF-94BC-DEB5-C66CC9645F8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901700</xdr:colOff>
      <xdr:row>34</xdr:row>
      <xdr:rowOff>88900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4BAF0ECE-DFE8-CE6A-C2D8-DAB3937F18C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liszzm@naver.com" TargetMode="External"/><Relationship Id="rId2" Type="http://schemas.openxmlformats.org/officeDocument/2006/relationships/hyperlink" Target="mailto:liszzm@naver.com" TargetMode="External"/><Relationship Id="rId1" Type="http://schemas.openxmlformats.org/officeDocument/2006/relationships/hyperlink" Target="mailto:liszzm@naver.com" TargetMode="External"/><Relationship Id="rId4" Type="http://schemas.openxmlformats.org/officeDocument/2006/relationships/hyperlink" Target="mailto:liszzm@naver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showGridLines="0" tabSelected="1" workbookViewId="0">
      <selection activeCell="C8" sqref="C8"/>
    </sheetView>
  </sheetViews>
  <sheetFormatPr defaultRowHeight="14.5"/>
  <cols>
    <col min="1" max="1" width="23.81640625" customWidth="1"/>
    <col min="2" max="2" width="18" customWidth="1"/>
    <col min="3" max="5" width="15" customWidth="1"/>
    <col min="6" max="6" width="20" customWidth="1"/>
    <col min="7" max="8" width="18" customWidth="1"/>
  </cols>
  <sheetData>
    <row r="1" spans="1:8" ht="28" customHeight="1">
      <c r="A1" s="23" t="s">
        <v>83</v>
      </c>
      <c r="B1" s="15"/>
      <c r="C1" s="15"/>
      <c r="D1" s="15"/>
      <c r="E1" s="15"/>
      <c r="F1" s="15"/>
      <c r="G1" s="15"/>
      <c r="H1" s="15"/>
    </row>
    <row r="3" spans="1:8">
      <c r="A3" s="20" t="s">
        <v>0</v>
      </c>
      <c r="B3" s="15"/>
      <c r="C3" s="15"/>
      <c r="D3" s="15"/>
      <c r="E3" s="15"/>
      <c r="F3" s="15"/>
      <c r="G3" s="15"/>
      <c r="H3" s="15"/>
    </row>
    <row r="5" spans="1:8">
      <c r="A5" s="1" t="s">
        <v>1</v>
      </c>
      <c r="B5" s="25" t="s">
        <v>85</v>
      </c>
      <c r="C5" s="16"/>
      <c r="D5" s="16"/>
      <c r="E5" s="16"/>
      <c r="F5" s="16"/>
      <c r="G5" s="16"/>
      <c r="H5" s="16"/>
    </row>
    <row r="6" spans="1:8">
      <c r="A6" s="1" t="s">
        <v>2</v>
      </c>
      <c r="B6" s="16" t="s">
        <v>3</v>
      </c>
      <c r="C6" s="16"/>
      <c r="D6" s="16"/>
      <c r="E6" s="16"/>
      <c r="F6" s="16"/>
      <c r="G6" s="16"/>
      <c r="H6" s="16"/>
    </row>
    <row r="7" spans="1:8">
      <c r="A7" s="1" t="s">
        <v>4</v>
      </c>
      <c r="B7" s="16" t="s">
        <v>5</v>
      </c>
      <c r="C7" s="16"/>
      <c r="D7" s="16"/>
      <c r="E7" s="16"/>
      <c r="F7" s="16"/>
      <c r="G7" s="16"/>
      <c r="H7" s="16"/>
    </row>
    <row r="10" spans="1:8">
      <c r="A10" s="20" t="s">
        <v>6</v>
      </c>
      <c r="B10" s="15"/>
      <c r="C10" s="15"/>
      <c r="D10" s="15"/>
      <c r="E10" s="15"/>
      <c r="F10" s="15"/>
      <c r="G10" s="15"/>
      <c r="H10" s="15"/>
    </row>
    <row r="11" spans="1:8">
      <c r="A11" s="2">
        <v>1</v>
      </c>
      <c r="B11" s="2" t="s">
        <v>7</v>
      </c>
      <c r="D11" s="3" t="s">
        <v>8</v>
      </c>
      <c r="E11" s="17"/>
      <c r="F11" s="18"/>
      <c r="G11" s="18"/>
      <c r="H11" s="19"/>
    </row>
    <row r="12" spans="1:8">
      <c r="A12" s="2">
        <v>2</v>
      </c>
      <c r="B12" s="2" t="s">
        <v>9</v>
      </c>
    </row>
    <row r="13" spans="1:8">
      <c r="A13" s="2">
        <v>3</v>
      </c>
      <c r="B13" s="2" t="s">
        <v>10</v>
      </c>
    </row>
    <row r="14" spans="1:8">
      <c r="A14" s="2">
        <v>4</v>
      </c>
      <c r="B14" s="2" t="s">
        <v>11</v>
      </c>
    </row>
    <row r="15" spans="1:8">
      <c r="A15" s="2">
        <v>5</v>
      </c>
      <c r="B15" s="2" t="s">
        <v>12</v>
      </c>
    </row>
    <row r="16" spans="1:8">
      <c r="A16" s="2">
        <v>6</v>
      </c>
      <c r="B16" s="2" t="s">
        <v>13</v>
      </c>
    </row>
    <row r="17" spans="1:2">
      <c r="A17" s="2">
        <v>7</v>
      </c>
      <c r="B17" s="2" t="s">
        <v>14</v>
      </c>
    </row>
    <row r="18" spans="1:2">
      <c r="A18" s="2">
        <v>8</v>
      </c>
      <c r="B18" s="2" t="s">
        <v>15</v>
      </c>
    </row>
    <row r="19" spans="1:2">
      <c r="A19" s="2">
        <v>9</v>
      </c>
      <c r="B19" s="2" t="s">
        <v>16</v>
      </c>
    </row>
    <row r="20" spans="1:2">
      <c r="A20" s="2">
        <v>10</v>
      </c>
      <c r="B20" s="2" t="s">
        <v>17</v>
      </c>
    </row>
  </sheetData>
  <mergeCells count="7">
    <mergeCell ref="A1:H1"/>
    <mergeCell ref="B5:H5"/>
    <mergeCell ref="E11:H11"/>
    <mergeCell ref="B7:H7"/>
    <mergeCell ref="A3:H3"/>
    <mergeCell ref="A10:H10"/>
    <mergeCell ref="B6:H6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showGridLines="0" workbookViewId="0">
      <selection activeCell="E40" sqref="E40"/>
    </sheetView>
  </sheetViews>
  <sheetFormatPr defaultRowHeight="14.5"/>
  <cols>
    <col min="1" max="1" width="22" customWidth="1"/>
    <col min="2" max="2" width="12" customWidth="1"/>
    <col min="3" max="3" width="28" customWidth="1"/>
    <col min="4" max="4" width="12" customWidth="1"/>
    <col min="5" max="5" width="16" customWidth="1"/>
  </cols>
  <sheetData>
    <row r="1" spans="1:5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</row>
    <row r="2" spans="1:5">
      <c r="A2" s="2" t="s">
        <v>23</v>
      </c>
      <c r="B2" s="2" t="s">
        <v>24</v>
      </c>
      <c r="C2" s="14" t="s">
        <v>82</v>
      </c>
      <c r="D2" s="2">
        <v>2</v>
      </c>
      <c r="E2" s="2" t="s">
        <v>25</v>
      </c>
    </row>
    <row r="3" spans="1:5">
      <c r="A3" s="2" t="s">
        <v>26</v>
      </c>
      <c r="B3" s="2" t="s">
        <v>27</v>
      </c>
      <c r="C3" s="14" t="s">
        <v>82</v>
      </c>
      <c r="D3" s="2">
        <v>3</v>
      </c>
      <c r="E3" s="2" t="s">
        <v>28</v>
      </c>
    </row>
    <row r="4" spans="1:5">
      <c r="A4" s="2" t="s">
        <v>29</v>
      </c>
      <c r="B4" s="2" t="s">
        <v>30</v>
      </c>
      <c r="C4" s="14" t="s">
        <v>82</v>
      </c>
      <c r="D4" s="2">
        <v>1</v>
      </c>
      <c r="E4" s="2" t="s">
        <v>31</v>
      </c>
    </row>
    <row r="5" spans="1:5">
      <c r="A5" s="2" t="s">
        <v>32</v>
      </c>
      <c r="B5" s="2" t="s">
        <v>33</v>
      </c>
      <c r="C5" s="14" t="s">
        <v>82</v>
      </c>
      <c r="D5" s="2">
        <v>2</v>
      </c>
      <c r="E5" s="2" t="s">
        <v>34</v>
      </c>
    </row>
  </sheetData>
  <phoneticPr fontId="6" type="noConversion"/>
  <hyperlinks>
    <hyperlink ref="C2" r:id="rId1" xr:uid="{9047D29A-028A-4670-8CED-D44B470B0986}"/>
    <hyperlink ref="C3" r:id="rId2" xr:uid="{2D2084B1-9F5A-49FD-9094-3827DCD32FD1}"/>
    <hyperlink ref="C4" r:id="rId3" xr:uid="{3AD23A6E-4D45-4277-B645-3A39C0190EAE}"/>
    <hyperlink ref="C5" r:id="rId4" xr:uid="{1EAFDC92-360B-4534-8F4F-A90DBC8CEB2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1"/>
  <sheetViews>
    <sheetView showGridLines="0" workbookViewId="0">
      <selection activeCell="K10" sqref="K10"/>
    </sheetView>
  </sheetViews>
  <sheetFormatPr defaultRowHeight="14.5"/>
  <cols>
    <col min="1" max="1" width="12" customWidth="1"/>
    <col min="2" max="2" width="16" customWidth="1"/>
    <col min="3" max="3" width="12" customWidth="1"/>
    <col min="4" max="4" width="8" customWidth="1"/>
    <col min="5" max="7" width="10" customWidth="1"/>
    <col min="8" max="8" width="20" customWidth="1"/>
    <col min="9" max="9" width="16" customWidth="1"/>
    <col min="10" max="10" width="28" customWidth="1"/>
    <col min="11" max="11" width="12" customWidth="1"/>
    <col min="12" max="12" width="10" customWidth="1"/>
    <col min="13" max="13" width="12" customWidth="1"/>
    <col min="14" max="14" width="10" customWidth="1"/>
    <col min="15" max="15" width="62.81640625" bestFit="1" customWidth="1"/>
  </cols>
  <sheetData>
    <row r="1" spans="1:15">
      <c r="A1" s="5" t="s">
        <v>35</v>
      </c>
      <c r="B1" s="5" t="s">
        <v>36</v>
      </c>
      <c r="C1" s="5" t="s">
        <v>37</v>
      </c>
      <c r="D1" s="5" t="s">
        <v>38</v>
      </c>
      <c r="E1" s="5" t="s">
        <v>39</v>
      </c>
      <c r="F1" s="5" t="s">
        <v>40</v>
      </c>
      <c r="G1" s="5" t="s">
        <v>41</v>
      </c>
      <c r="H1" s="5" t="s">
        <v>42</v>
      </c>
      <c r="I1" s="5" t="s">
        <v>43</v>
      </c>
      <c r="J1" s="5" t="s">
        <v>44</v>
      </c>
      <c r="K1" s="5" t="s">
        <v>21</v>
      </c>
      <c r="L1" s="5" t="s">
        <v>45</v>
      </c>
      <c r="M1" s="5" t="s">
        <v>46</v>
      </c>
      <c r="N1" s="5" t="s">
        <v>47</v>
      </c>
      <c r="O1" s="5" t="s">
        <v>48</v>
      </c>
    </row>
    <row r="2" spans="1:15">
      <c r="A2" s="6" t="s">
        <v>49</v>
      </c>
      <c r="B2" s="6" t="s">
        <v>7</v>
      </c>
      <c r="C2" s="6" t="s">
        <v>50</v>
      </c>
      <c r="D2" s="6" t="s">
        <v>51</v>
      </c>
      <c r="E2" s="7">
        <v>120</v>
      </c>
      <c r="F2" s="7">
        <v>180</v>
      </c>
      <c r="G2" s="7">
        <v>100</v>
      </c>
      <c r="H2" s="6" t="s">
        <v>23</v>
      </c>
      <c r="I2" s="6" t="s">
        <v>52</v>
      </c>
      <c r="J2" s="8" t="str">
        <f>VLOOKUP(H2,Suppliers!$A$2:$E$10,3,FALSE)</f>
        <v>liszzm@naver.com</v>
      </c>
      <c r="K2" s="9">
        <f>VLOOKUP(H2,Suppliers!$A$2:$E$10,4,FALSE)</f>
        <v>2</v>
      </c>
      <c r="L2" s="10">
        <f t="shared" ref="L2:L11" si="0">MAX(F2-E2,0)</f>
        <v>60</v>
      </c>
      <c r="M2" s="10">
        <f t="shared" ref="M2:M11" si="1">IF(E2&lt;F2,MAX(G2,L2),0)</f>
        <v>100</v>
      </c>
      <c r="N2" s="9" t="str">
        <f t="shared" ref="N2:N11" si="2">IF(E2&lt;F2,"발주 필요","정상")</f>
        <v>발주 필요</v>
      </c>
      <c r="O2" s="9" t="str">
        <f t="shared" ref="O2:O11" si="3">IF(N2="발주 필요",B2&amp;" 재고 부족 - 현재 "&amp;TEXT(E2,"0")&amp;D2&amp;", 안전재고 "&amp;TEXT(F2,"0")&amp;D2&amp;", 권장발주 "&amp;TEXT(M2,"0")&amp;D2,"")</f>
        <v>도우볼 재고 부족 - 현재 120개, 안전재고 180개, 권장발주 100개</v>
      </c>
    </row>
    <row r="3" spans="1:15">
      <c r="A3" s="6" t="s">
        <v>53</v>
      </c>
      <c r="B3" s="6" t="s">
        <v>9</v>
      </c>
      <c r="C3" s="6" t="s">
        <v>54</v>
      </c>
      <c r="D3" s="6" t="s">
        <v>55</v>
      </c>
      <c r="E3" s="7">
        <v>32</v>
      </c>
      <c r="F3" s="7">
        <v>20</v>
      </c>
      <c r="G3" s="7">
        <v>10</v>
      </c>
      <c r="H3" s="6" t="s">
        <v>23</v>
      </c>
      <c r="I3" s="6" t="s">
        <v>52</v>
      </c>
      <c r="J3" s="8" t="str">
        <f>VLOOKUP(H3,Suppliers!$A$2:$E$10,3,FALSE)</f>
        <v>liszzm@naver.com</v>
      </c>
      <c r="K3" s="9">
        <f>VLOOKUP(H3,Suppliers!$A$2:$E$10,4,FALSE)</f>
        <v>2</v>
      </c>
      <c r="L3" s="10">
        <f t="shared" si="0"/>
        <v>0</v>
      </c>
      <c r="M3" s="10">
        <f t="shared" si="1"/>
        <v>0</v>
      </c>
      <c r="N3" s="9" t="str">
        <f t="shared" si="2"/>
        <v>정상</v>
      </c>
      <c r="O3" s="9" t="str">
        <f t="shared" si="3"/>
        <v/>
      </c>
    </row>
    <row r="4" spans="1:15">
      <c r="A4" s="6" t="s">
        <v>56</v>
      </c>
      <c r="B4" s="6" t="s">
        <v>10</v>
      </c>
      <c r="C4" s="6" t="s">
        <v>57</v>
      </c>
      <c r="D4" s="6" t="s">
        <v>58</v>
      </c>
      <c r="E4" s="7">
        <v>12</v>
      </c>
      <c r="F4" s="7">
        <v>18</v>
      </c>
      <c r="G4" s="7">
        <v>10</v>
      </c>
      <c r="H4" s="6" t="s">
        <v>23</v>
      </c>
      <c r="I4" s="6" t="s">
        <v>52</v>
      </c>
      <c r="J4" s="8" t="str">
        <f>VLOOKUP(H4,Suppliers!$A$2:$E$10,3,FALSE)</f>
        <v>liszzm@naver.com</v>
      </c>
      <c r="K4" s="9">
        <f>VLOOKUP(H4,Suppliers!$A$2:$E$10,4,FALSE)</f>
        <v>2</v>
      </c>
      <c r="L4" s="10">
        <f t="shared" si="0"/>
        <v>6</v>
      </c>
      <c r="M4" s="10">
        <f t="shared" si="1"/>
        <v>10</v>
      </c>
      <c r="N4" s="9" t="str">
        <f t="shared" si="2"/>
        <v>발주 필요</v>
      </c>
      <c r="O4" s="9" t="str">
        <f t="shared" si="3"/>
        <v>모짜렐라치즈 재고 부족 - 현재 12봉, 안전재고 18봉, 권장발주 10봉</v>
      </c>
    </row>
    <row r="5" spans="1:15">
      <c r="A5" s="6" t="s">
        <v>59</v>
      </c>
      <c r="B5" s="6" t="s">
        <v>11</v>
      </c>
      <c r="C5" s="6" t="s">
        <v>60</v>
      </c>
      <c r="D5" s="6" t="s">
        <v>55</v>
      </c>
      <c r="E5" s="7">
        <v>15</v>
      </c>
      <c r="F5" s="7">
        <v>12</v>
      </c>
      <c r="G5" s="7">
        <v>8</v>
      </c>
      <c r="H5" s="6" t="s">
        <v>26</v>
      </c>
      <c r="I5" s="6" t="s">
        <v>52</v>
      </c>
      <c r="J5" s="8" t="str">
        <f>VLOOKUP(H5,Suppliers!$A$2:$E$10,3,FALSE)</f>
        <v>liszzm@naver.com</v>
      </c>
      <c r="K5" s="9">
        <f>VLOOKUP(H5,Suppliers!$A$2:$E$10,4,FALSE)</f>
        <v>3</v>
      </c>
      <c r="L5" s="10">
        <f t="shared" si="0"/>
        <v>0</v>
      </c>
      <c r="M5" s="10">
        <f t="shared" si="1"/>
        <v>0</v>
      </c>
      <c r="N5" s="9" t="str">
        <f t="shared" si="2"/>
        <v>정상</v>
      </c>
      <c r="O5" s="9" t="str">
        <f t="shared" si="3"/>
        <v/>
      </c>
    </row>
    <row r="6" spans="1:15">
      <c r="A6" s="6" t="s">
        <v>61</v>
      </c>
      <c r="B6" s="6" t="s">
        <v>12</v>
      </c>
      <c r="C6" s="6" t="s">
        <v>60</v>
      </c>
      <c r="D6" s="6" t="s">
        <v>55</v>
      </c>
      <c r="E6" s="7">
        <v>6</v>
      </c>
      <c r="F6" s="7">
        <v>10</v>
      </c>
      <c r="G6" s="7">
        <v>10</v>
      </c>
      <c r="H6" s="6" t="s">
        <v>26</v>
      </c>
      <c r="I6" s="6" t="s">
        <v>52</v>
      </c>
      <c r="J6" s="8" t="str">
        <f>VLOOKUP(H6,Suppliers!$A$2:$E$10,3,FALSE)</f>
        <v>liszzm@naver.com</v>
      </c>
      <c r="K6" s="9">
        <f>VLOOKUP(H6,Suppliers!$A$2:$E$10,4,FALSE)</f>
        <v>3</v>
      </c>
      <c r="L6" s="10">
        <f t="shared" si="0"/>
        <v>4</v>
      </c>
      <c r="M6" s="10">
        <f t="shared" si="1"/>
        <v>10</v>
      </c>
      <c r="N6" s="9" t="str">
        <f t="shared" si="2"/>
        <v>발주 필요</v>
      </c>
      <c r="O6" s="9" t="str">
        <f t="shared" si="3"/>
        <v>베이컨 재고 부족 - 현재 6팩, 안전재고 10팩, 권장발주 10팩</v>
      </c>
    </row>
    <row r="7" spans="1:15">
      <c r="A7" s="6" t="s">
        <v>62</v>
      </c>
      <c r="B7" s="6" t="s">
        <v>13</v>
      </c>
      <c r="C7" s="6" t="s">
        <v>63</v>
      </c>
      <c r="D7" s="6" t="s">
        <v>58</v>
      </c>
      <c r="E7" s="7">
        <v>14</v>
      </c>
      <c r="F7" s="7">
        <v>12</v>
      </c>
      <c r="G7" s="7">
        <v>6</v>
      </c>
      <c r="H7" s="6" t="s">
        <v>29</v>
      </c>
      <c r="I7" s="6" t="s">
        <v>52</v>
      </c>
      <c r="J7" s="8" t="str">
        <f>VLOOKUP(H7,Suppliers!$A$2:$E$10,3,FALSE)</f>
        <v>liszzm@naver.com</v>
      </c>
      <c r="K7" s="9">
        <f>VLOOKUP(H7,Suppliers!$A$2:$E$10,4,FALSE)</f>
        <v>1</v>
      </c>
      <c r="L7" s="10">
        <f t="shared" si="0"/>
        <v>0</v>
      </c>
      <c r="M7" s="10">
        <f t="shared" si="1"/>
        <v>0</v>
      </c>
      <c r="N7" s="9" t="str">
        <f t="shared" si="2"/>
        <v>정상</v>
      </c>
      <c r="O7" s="9" t="str">
        <f t="shared" si="3"/>
        <v/>
      </c>
    </row>
    <row r="8" spans="1:15">
      <c r="A8" s="6" t="s">
        <v>64</v>
      </c>
      <c r="B8" s="6" t="s">
        <v>14</v>
      </c>
      <c r="C8" s="6" t="s">
        <v>63</v>
      </c>
      <c r="D8" s="6" t="s">
        <v>58</v>
      </c>
      <c r="E8" s="7">
        <v>5</v>
      </c>
      <c r="F8" s="7">
        <v>8</v>
      </c>
      <c r="G8" s="7">
        <v>5</v>
      </c>
      <c r="H8" s="6" t="s">
        <v>29</v>
      </c>
      <c r="I8" s="6" t="s">
        <v>52</v>
      </c>
      <c r="J8" s="8" t="str">
        <f>VLOOKUP(H8,Suppliers!$A$2:$E$10,3,FALSE)</f>
        <v>liszzm@naver.com</v>
      </c>
      <c r="K8" s="9">
        <f>VLOOKUP(H8,Suppliers!$A$2:$E$10,4,FALSE)</f>
        <v>1</v>
      </c>
      <c r="L8" s="10">
        <f t="shared" si="0"/>
        <v>3</v>
      </c>
      <c r="M8" s="10">
        <f t="shared" si="1"/>
        <v>5</v>
      </c>
      <c r="N8" s="9" t="str">
        <f t="shared" si="2"/>
        <v>발주 필요</v>
      </c>
      <c r="O8" s="9" t="str">
        <f t="shared" si="3"/>
        <v>피망 재고 부족 - 현재 5봉, 안전재고 8봉, 권장발주 5봉</v>
      </c>
    </row>
    <row r="9" spans="1:15">
      <c r="A9" s="6" t="s">
        <v>65</v>
      </c>
      <c r="B9" s="6" t="s">
        <v>15</v>
      </c>
      <c r="C9" s="6" t="s">
        <v>66</v>
      </c>
      <c r="D9" s="6" t="s">
        <v>67</v>
      </c>
      <c r="E9" s="7">
        <v>3</v>
      </c>
      <c r="F9" s="7">
        <v>6</v>
      </c>
      <c r="G9" s="7">
        <v>6</v>
      </c>
      <c r="H9" s="6" t="s">
        <v>29</v>
      </c>
      <c r="I9" s="6" t="s">
        <v>52</v>
      </c>
      <c r="J9" s="8" t="str">
        <f>VLOOKUP(H9,Suppliers!$A$2:$E$10,3,FALSE)</f>
        <v>liszzm@naver.com</v>
      </c>
      <c r="K9" s="9">
        <f>VLOOKUP(H9,Suppliers!$A$2:$E$10,4,FALSE)</f>
        <v>1</v>
      </c>
      <c r="L9" s="10">
        <f t="shared" si="0"/>
        <v>3</v>
      </c>
      <c r="M9" s="10">
        <f t="shared" si="1"/>
        <v>6</v>
      </c>
      <c r="N9" s="9" t="str">
        <f t="shared" si="2"/>
        <v>발주 필요</v>
      </c>
      <c r="O9" s="9" t="str">
        <f t="shared" si="3"/>
        <v>양송이버섯 재고 부족 - 현재 3캔, 안전재고 6캔, 권장발주 6캔</v>
      </c>
    </row>
    <row r="10" spans="1:15">
      <c r="A10" s="6" t="s">
        <v>68</v>
      </c>
      <c r="B10" s="6" t="s">
        <v>16</v>
      </c>
      <c r="C10" s="6" t="s">
        <v>54</v>
      </c>
      <c r="D10" s="6" t="s">
        <v>67</v>
      </c>
      <c r="E10" s="7">
        <v>9</v>
      </c>
      <c r="F10" s="7">
        <v>8</v>
      </c>
      <c r="G10" s="7">
        <v>4</v>
      </c>
      <c r="H10" s="6" t="s">
        <v>32</v>
      </c>
      <c r="I10" s="6" t="s">
        <v>52</v>
      </c>
      <c r="J10" s="8" t="str">
        <f>VLOOKUP(H10,Suppliers!$A$2:$E$10,3,FALSE)</f>
        <v>liszzm@naver.com</v>
      </c>
      <c r="K10" s="9">
        <f>VLOOKUP(H10,Suppliers!$A$2:$E$10,4,FALSE)</f>
        <v>2</v>
      </c>
      <c r="L10" s="10">
        <f t="shared" si="0"/>
        <v>0</v>
      </c>
      <c r="M10" s="10">
        <f t="shared" si="1"/>
        <v>0</v>
      </c>
      <c r="N10" s="9" t="str">
        <f t="shared" si="2"/>
        <v>정상</v>
      </c>
      <c r="O10" s="9" t="str">
        <f t="shared" si="3"/>
        <v/>
      </c>
    </row>
    <row r="11" spans="1:15">
      <c r="A11" s="6" t="s">
        <v>69</v>
      </c>
      <c r="B11" s="6" t="s">
        <v>17</v>
      </c>
      <c r="C11" s="6" t="s">
        <v>54</v>
      </c>
      <c r="D11" s="6" t="s">
        <v>67</v>
      </c>
      <c r="E11" s="7">
        <v>4</v>
      </c>
      <c r="F11" s="7">
        <v>5</v>
      </c>
      <c r="G11" s="7">
        <v>6</v>
      </c>
      <c r="H11" s="6" t="s">
        <v>32</v>
      </c>
      <c r="I11" s="6" t="s">
        <v>52</v>
      </c>
      <c r="J11" s="8" t="str">
        <f>VLOOKUP(H11,Suppliers!$A$2:$E$10,3,FALSE)</f>
        <v>liszzm@naver.com</v>
      </c>
      <c r="K11" s="9">
        <f>VLOOKUP(H11,Suppliers!$A$2:$E$10,4,FALSE)</f>
        <v>2</v>
      </c>
      <c r="L11" s="10">
        <f t="shared" si="0"/>
        <v>1</v>
      </c>
      <c r="M11" s="10">
        <f t="shared" si="1"/>
        <v>6</v>
      </c>
      <c r="N11" s="9" t="str">
        <f t="shared" si="2"/>
        <v>발주 필요</v>
      </c>
      <c r="O11" s="9" t="str">
        <f t="shared" si="3"/>
        <v>스위트콘 재고 부족 - 현재 4캔, 안전재고 5캔, 권장발주 6캔</v>
      </c>
    </row>
  </sheetData>
  <phoneticPr fontId="6" type="noConversion"/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4"/>
  <sheetViews>
    <sheetView showGridLines="0" workbookViewId="0">
      <selection activeCell="A2" sqref="A2"/>
    </sheetView>
  </sheetViews>
  <sheetFormatPr defaultRowHeight="14.5"/>
  <cols>
    <col min="1" max="1" width="22" customWidth="1"/>
    <col min="2" max="3" width="16" customWidth="1"/>
    <col min="4" max="4" width="28" customWidth="1"/>
    <col min="5" max="8" width="12" customWidth="1"/>
  </cols>
  <sheetData>
    <row r="1" spans="1:8" ht="28" customHeight="1">
      <c r="A1" s="24" t="s">
        <v>84</v>
      </c>
      <c r="B1" s="15"/>
      <c r="C1" s="15"/>
      <c r="D1" s="15"/>
      <c r="E1" s="15"/>
      <c r="F1" s="15"/>
      <c r="G1" s="15"/>
      <c r="H1" s="15"/>
    </row>
    <row r="3" spans="1:8">
      <c r="A3" s="1" t="s">
        <v>70</v>
      </c>
      <c r="B3" s="11">
        <f>COUNTA(Inventory!A2:A11)</f>
        <v>10</v>
      </c>
    </row>
    <row r="4" spans="1:8">
      <c r="A4" s="1" t="s">
        <v>71</v>
      </c>
      <c r="B4" s="11">
        <f>COUNTIF(Inventory!N2:N11,"발주 필요")</f>
        <v>6</v>
      </c>
    </row>
    <row r="5" spans="1:8">
      <c r="A5" s="1" t="s">
        <v>72</v>
      </c>
      <c r="B5" s="11">
        <f>SUM(Inventory!M2:M11)</f>
        <v>137</v>
      </c>
    </row>
    <row r="6" spans="1:8">
      <c r="A6" s="1" t="s">
        <v>73</v>
      </c>
      <c r="B6" s="12" t="str">
        <f>IF(B4&gt;0,"담당자 확인 필요","정상")</f>
        <v>담당자 확인 필요</v>
      </c>
    </row>
    <row r="8" spans="1:8">
      <c r="A8" s="20" t="s">
        <v>74</v>
      </c>
      <c r="B8" s="15"/>
      <c r="C8" s="15"/>
      <c r="D8" s="15"/>
      <c r="E8" s="15"/>
      <c r="F8" s="15"/>
      <c r="G8" s="15"/>
      <c r="H8" s="15"/>
    </row>
    <row r="10" spans="1:8">
      <c r="A10" s="1" t="s">
        <v>18</v>
      </c>
      <c r="B10" s="1" t="s">
        <v>71</v>
      </c>
      <c r="C10" s="1" t="s">
        <v>75</v>
      </c>
      <c r="D10" s="1" t="s">
        <v>76</v>
      </c>
      <c r="E10" s="1" t="s">
        <v>21</v>
      </c>
    </row>
    <row r="11" spans="1:8">
      <c r="A11" s="2" t="s">
        <v>23</v>
      </c>
      <c r="B11" s="2">
        <f>COUNTIFS(Inventory!$H$2:$H$11,A11,Inventory!$N$2:$N$11,"발주 필요")</f>
        <v>2</v>
      </c>
      <c r="C11" s="2">
        <f>SUMIFS(Inventory!$M$2:$M$11,Inventory!$H$2:$H$11,A11,Inventory!$N$2:$N$11,"발주 필요")</f>
        <v>110</v>
      </c>
      <c r="D11" s="2" t="str">
        <f>VLOOKUP(A11,Suppliers!$A$2:$E$10,3,FALSE)</f>
        <v>liszzm@naver.com</v>
      </c>
      <c r="E11" s="2">
        <f>VLOOKUP(A11,Suppliers!$A$2:$E$10,4,FALSE)</f>
        <v>2</v>
      </c>
    </row>
    <row r="12" spans="1:8">
      <c r="A12" s="2" t="s">
        <v>26</v>
      </c>
      <c r="B12" s="2">
        <f>COUNTIFS(Inventory!$H$2:$H$11,A12,Inventory!$N$2:$N$11,"발주 필요")</f>
        <v>1</v>
      </c>
      <c r="C12" s="2">
        <f>SUMIFS(Inventory!$M$2:$M$11,Inventory!$H$2:$H$11,A12,Inventory!$N$2:$N$11,"발주 필요")</f>
        <v>10</v>
      </c>
      <c r="D12" s="2" t="str">
        <f>VLOOKUP(A12,Suppliers!$A$2:$E$10,3,FALSE)</f>
        <v>liszzm@naver.com</v>
      </c>
      <c r="E12" s="2">
        <f>VLOOKUP(A12,Suppliers!$A$2:$E$10,4,FALSE)</f>
        <v>3</v>
      </c>
    </row>
    <row r="13" spans="1:8">
      <c r="A13" s="2" t="s">
        <v>29</v>
      </c>
      <c r="B13" s="2">
        <f>COUNTIFS(Inventory!$H$2:$H$11,A13,Inventory!$N$2:$N$11,"발주 필요")</f>
        <v>2</v>
      </c>
      <c r="C13" s="2">
        <f>SUMIFS(Inventory!$M$2:$M$11,Inventory!$H$2:$H$11,A13,Inventory!$N$2:$N$11,"발주 필요")</f>
        <v>11</v>
      </c>
      <c r="D13" s="2" t="str">
        <f>VLOOKUP(A13,Suppliers!$A$2:$E$10,3,FALSE)</f>
        <v>liszzm@naver.com</v>
      </c>
      <c r="E13" s="2">
        <f>VLOOKUP(A13,Suppliers!$A$2:$E$10,4,FALSE)</f>
        <v>1</v>
      </c>
    </row>
    <row r="14" spans="1:8">
      <c r="A14" s="2" t="s">
        <v>32</v>
      </c>
      <c r="B14" s="2">
        <f>COUNTIFS(Inventory!$H$2:$H$11,A14,Inventory!$N$2:$N$11,"발주 필요")</f>
        <v>1</v>
      </c>
      <c r="C14" s="2">
        <f>SUMIFS(Inventory!$M$2:$M$11,Inventory!$H$2:$H$11,A14,Inventory!$N$2:$N$11,"발주 필요")</f>
        <v>6</v>
      </c>
      <c r="D14" s="2" t="str">
        <f>VLOOKUP(A14,Suppliers!$A$2:$E$10,3,FALSE)</f>
        <v>liszzm@naver.com</v>
      </c>
      <c r="E14" s="2">
        <f>VLOOKUP(A14,Suppliers!$A$2:$E$10,4,FALSE)</f>
        <v>2</v>
      </c>
    </row>
  </sheetData>
  <mergeCells count="2">
    <mergeCell ref="A8:H8"/>
    <mergeCell ref="A1:H1"/>
  </mergeCells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"/>
  <sheetViews>
    <sheetView showGridLines="0" workbookViewId="0">
      <selection sqref="A1:F1"/>
    </sheetView>
  </sheetViews>
  <sheetFormatPr defaultRowHeight="14.5"/>
  <cols>
    <col min="1" max="1" width="16" customWidth="1"/>
    <col min="2" max="2" width="24" customWidth="1"/>
    <col min="3" max="6" width="18" customWidth="1"/>
  </cols>
  <sheetData>
    <row r="1" spans="1:6" ht="18.5">
      <c r="A1" s="21" t="s">
        <v>77</v>
      </c>
      <c r="B1" s="15"/>
      <c r="C1" s="15"/>
      <c r="D1" s="15"/>
      <c r="E1" s="15"/>
      <c r="F1" s="15"/>
    </row>
    <row r="3" spans="1:6">
      <c r="A3" s="13" t="s">
        <v>78</v>
      </c>
      <c r="B3" s="15" t="s">
        <v>79</v>
      </c>
      <c r="C3" s="15"/>
      <c r="D3" s="15"/>
      <c r="E3" s="15"/>
      <c r="F3" s="15"/>
    </row>
    <row r="5" spans="1:6" ht="120" customHeight="1">
      <c r="A5" s="13" t="s">
        <v>80</v>
      </c>
      <c r="B5" s="22" t="s">
        <v>81</v>
      </c>
      <c r="C5" s="15"/>
      <c r="D5" s="15"/>
      <c r="E5" s="15"/>
      <c r="F5" s="15"/>
    </row>
    <row r="6" spans="1:6">
      <c r="B6" s="15"/>
      <c r="C6" s="15"/>
      <c r="D6" s="15"/>
      <c r="E6" s="15"/>
      <c r="F6" s="15"/>
    </row>
    <row r="7" spans="1:6">
      <c r="B7" s="15"/>
      <c r="C7" s="15"/>
      <c r="D7" s="15"/>
      <c r="E7" s="15"/>
      <c r="F7" s="15"/>
    </row>
    <row r="8" spans="1:6">
      <c r="B8" s="15"/>
      <c r="C8" s="15"/>
      <c r="D8" s="15"/>
      <c r="E8" s="15"/>
      <c r="F8" s="15"/>
    </row>
    <row r="9" spans="1:6">
      <c r="B9" s="15"/>
      <c r="C9" s="15"/>
      <c r="D9" s="15"/>
      <c r="E9" s="15"/>
      <c r="F9" s="15"/>
    </row>
    <row r="10" spans="1:6">
      <c r="B10" s="15"/>
      <c r="C10" s="15"/>
      <c r="D10" s="15"/>
      <c r="E10" s="15"/>
      <c r="F10" s="15"/>
    </row>
    <row r="11" spans="1:6">
      <c r="B11" s="15"/>
      <c r="C11" s="15"/>
      <c r="D11" s="15"/>
      <c r="E11" s="15"/>
      <c r="F11" s="15"/>
    </row>
    <row r="12" spans="1:6">
      <c r="B12" s="15"/>
      <c r="C12" s="15"/>
      <c r="D12" s="15"/>
      <c r="E12" s="15"/>
      <c r="F12" s="15"/>
    </row>
  </sheetData>
  <mergeCells count="3">
    <mergeCell ref="B5:F12"/>
    <mergeCell ref="A1:F1"/>
    <mergeCell ref="B3:F3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Guide</vt:lpstr>
      <vt:lpstr>Suppliers</vt:lpstr>
      <vt:lpstr>Inventory</vt:lpstr>
      <vt:lpstr>OrderSummary</vt:lpstr>
      <vt:lpstr>EmailTemplate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이인섭</cp:lastModifiedBy>
  <dcterms:modified xsi:type="dcterms:W3CDTF">2026-03-07T10:35:51Z</dcterms:modified>
</cp:coreProperties>
</file>